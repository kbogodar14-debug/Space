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 activeTab="2"/>
  </bookViews>
  <sheets>
    <sheet name="Задача 1" sheetId="1" r:id="rId1"/>
    <sheet name="Задание 2" sheetId="2" r:id="rId2"/>
    <sheet name="Задача 3" sheetId="3" r:id="rId3"/>
  </sheets>
  <calcPr calcId="144525"/>
</workbook>
</file>

<file path=xl/calcChain.xml><?xml version="1.0" encoding="utf-8"?>
<calcChain xmlns="http://schemas.openxmlformats.org/spreadsheetml/2006/main">
  <c r="V10" i="3" l="1"/>
  <c r="V9" i="3"/>
  <c r="V8" i="3"/>
  <c r="V5" i="3"/>
  <c r="V4" i="3"/>
  <c r="V3" i="3"/>
  <c r="V2" i="3"/>
  <c r="S7" i="3"/>
  <c r="S3" i="3"/>
  <c r="S4" i="3"/>
  <c r="S5" i="3"/>
  <c r="S6" i="3"/>
  <c r="S2" i="3"/>
  <c r="R7" i="3"/>
  <c r="R3" i="3"/>
  <c r="R4" i="3"/>
  <c r="R5" i="3"/>
  <c r="R6" i="3"/>
  <c r="R2" i="3"/>
  <c r="Q3" i="3"/>
  <c r="Q4" i="3"/>
  <c r="Q5" i="3"/>
  <c r="Q6" i="3"/>
  <c r="Q2" i="3"/>
  <c r="P3" i="3"/>
  <c r="P4" i="3"/>
  <c r="P5" i="3"/>
  <c r="P6" i="3"/>
  <c r="P2" i="3"/>
  <c r="N3" i="3"/>
  <c r="N4" i="3"/>
  <c r="N5" i="3"/>
  <c r="N6" i="3"/>
  <c r="N2" i="3"/>
  <c r="M3" i="3"/>
  <c r="M2" i="3"/>
  <c r="L3" i="3" s="1"/>
  <c r="L4" i="3"/>
  <c r="M4" i="3" s="1"/>
  <c r="L5" i="3" s="1"/>
  <c r="M5" i="3" s="1"/>
  <c r="L6" i="3" s="1"/>
  <c r="M6" i="3" s="1"/>
  <c r="L2" i="3"/>
  <c r="D5" i="3"/>
  <c r="D3" i="3"/>
  <c r="D2" i="3"/>
  <c r="H10" i="2"/>
  <c r="H9" i="2"/>
  <c r="H8" i="2"/>
  <c r="H5" i="2"/>
  <c r="H4" i="2"/>
  <c r="H3" i="2"/>
  <c r="H2" i="2"/>
  <c r="E6" i="2"/>
  <c r="D6" i="2"/>
  <c r="E3" i="2"/>
  <c r="E4" i="2"/>
  <c r="E5" i="2"/>
  <c r="E2" i="2"/>
  <c r="D3" i="2"/>
  <c r="D4" i="2"/>
  <c r="D5" i="2"/>
  <c r="D2" i="2"/>
  <c r="C3" i="2"/>
  <c r="C4" i="2"/>
  <c r="C5" i="2"/>
  <c r="C2" i="2"/>
  <c r="B6" i="2"/>
  <c r="H2" i="1"/>
  <c r="F2" i="1"/>
  <c r="D2" i="1"/>
</calcChain>
</file>

<file path=xl/sharedStrings.xml><?xml version="1.0" encoding="utf-8"?>
<sst xmlns="http://schemas.openxmlformats.org/spreadsheetml/2006/main" count="42" uniqueCount="39">
  <si>
    <t>Данные</t>
  </si>
  <si>
    <t>Оценка мат. Ожидания:</t>
  </si>
  <si>
    <t>Несмещенная оценка дисперсии:</t>
  </si>
  <si>
    <t>с.к.о.</t>
  </si>
  <si>
    <t>xi</t>
  </si>
  <si>
    <t>mi</t>
  </si>
  <si>
    <t>wi</t>
  </si>
  <si>
    <t>xi*mi</t>
  </si>
  <si>
    <t>Сумма:</t>
  </si>
  <si>
    <t>xi^2*mi</t>
  </si>
  <si>
    <t>Выборочное среднее:</t>
  </si>
  <si>
    <t>Выборочная дисперсия</t>
  </si>
  <si>
    <t>Несмещенная дисперсия</t>
  </si>
  <si>
    <t>Оценка с.к.о.</t>
  </si>
  <si>
    <t>Надежность (γ):</t>
  </si>
  <si>
    <t>Крит. значение (t_γ):</t>
  </si>
  <si>
    <t>Точность оценки (d):</t>
  </si>
  <si>
    <t>Нижняя граница (x_min):</t>
  </si>
  <si>
    <t>Верхняя граница (x_max):</t>
  </si>
  <si>
    <t>выборка</t>
  </si>
  <si>
    <t>X_min:</t>
  </si>
  <si>
    <t>X_max:</t>
  </si>
  <si>
    <t>Число интервалов:</t>
  </si>
  <si>
    <t>ширина интервала:</t>
  </si>
  <si>
    <t>№</t>
  </si>
  <si>
    <t>Нижняя граница</t>
  </si>
  <si>
    <t>Верхняя граница</t>
  </si>
  <si>
    <t>Середина интервала</t>
  </si>
  <si>
    <t>Абсолютная частота</t>
  </si>
  <si>
    <t>Отн. Частота</t>
  </si>
  <si>
    <t>Плотн. отн. Частоты</t>
  </si>
  <si>
    <t>xi * mi</t>
  </si>
  <si>
    <t>xi^2 * mi</t>
  </si>
  <si>
    <t xml:space="preserve">Выборочное среднее </t>
  </si>
  <si>
    <t>Надежность</t>
  </si>
  <si>
    <t>Крит. Значение</t>
  </si>
  <si>
    <t>Точность оценки</t>
  </si>
  <si>
    <t>x_min</t>
  </si>
  <si>
    <t>x_max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</si>
</sst>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rgb="FF0A0A0A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800" b="1" i="0" u="none" strike="noStrike" baseline="0">
                <a:effectLst/>
              </a:rPr>
              <a:t>Полигон относительных частот</a:t>
            </a:r>
            <a:endParaRPr lang="ru-RU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cat>
            <c:numRef>
              <c:f>'Задание 2'!$A$2:$A$5</c:f>
              <c:numCache>
                <c:formatCode>General</c:formatCode>
                <c:ptCount val="4"/>
                <c:pt idx="0">
                  <c:v>3</c:v>
                </c:pt>
                <c:pt idx="1">
                  <c:v>6</c:v>
                </c:pt>
                <c:pt idx="2">
                  <c:v>7</c:v>
                </c:pt>
                <c:pt idx="3">
                  <c:v>9</c:v>
                </c:pt>
              </c:numCache>
            </c:numRef>
          </c:cat>
          <c:val>
            <c:numRef>
              <c:f>'Задание 2'!$C$2:$C$5</c:f>
              <c:numCache>
                <c:formatCode>General</c:formatCode>
                <c:ptCount val="4"/>
                <c:pt idx="0">
                  <c:v>0.1</c:v>
                </c:pt>
                <c:pt idx="1">
                  <c:v>0.4</c:v>
                </c:pt>
                <c:pt idx="2">
                  <c:v>0.3</c:v>
                </c:pt>
                <c:pt idx="3">
                  <c:v>0.2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28256"/>
        <c:axId val="14129792"/>
      </c:lineChart>
      <c:catAx>
        <c:axId val="1412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4129792"/>
        <c:crosses val="autoZero"/>
        <c:auto val="1"/>
        <c:lblAlgn val="ctr"/>
        <c:lblOffset val="100"/>
        <c:noMultiLvlLbl val="0"/>
      </c:catAx>
      <c:valAx>
        <c:axId val="1412979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41282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800" b="1" i="0" u="none" strike="noStrike" baseline="0">
                <a:effectLst/>
              </a:rPr>
              <a:t>Гистограмма относительных частот</a:t>
            </a:r>
            <a:endParaRPr lang="ru-RU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'Задача 3'!$N$2:$N$6</c:f>
              <c:numCache>
                <c:formatCode>General</c:formatCode>
                <c:ptCount val="5"/>
                <c:pt idx="0">
                  <c:v>-4.5</c:v>
                </c:pt>
                <c:pt idx="1">
                  <c:v>0.5</c:v>
                </c:pt>
                <c:pt idx="2">
                  <c:v>5.5</c:v>
                </c:pt>
                <c:pt idx="3">
                  <c:v>10.5</c:v>
                </c:pt>
                <c:pt idx="4">
                  <c:v>15.5</c:v>
                </c:pt>
              </c:numCache>
            </c:numRef>
          </c:cat>
          <c:val>
            <c:numRef>
              <c:f>'Задача 3'!$Q$2:$Q$6</c:f>
              <c:numCache>
                <c:formatCode>General</c:formatCode>
                <c:ptCount val="5"/>
                <c:pt idx="0">
                  <c:v>2.4E-2</c:v>
                </c:pt>
                <c:pt idx="1">
                  <c:v>1.6E-2</c:v>
                </c:pt>
                <c:pt idx="2">
                  <c:v>4.8000000000000001E-2</c:v>
                </c:pt>
                <c:pt idx="3">
                  <c:v>5.6000000000000008E-2</c:v>
                </c:pt>
                <c:pt idx="4">
                  <c:v>5.6000000000000008E-2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1308544"/>
        <c:axId val="41310080"/>
      </c:barChart>
      <c:catAx>
        <c:axId val="4130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1310080"/>
        <c:crosses val="autoZero"/>
        <c:auto val="1"/>
        <c:lblAlgn val="ctr"/>
        <c:lblOffset val="100"/>
        <c:noMultiLvlLbl val="0"/>
      </c:catAx>
      <c:valAx>
        <c:axId val="4131008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413085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11</xdr:row>
      <xdr:rowOff>49530</xdr:rowOff>
    </xdr:from>
    <xdr:to>
      <xdr:col>6</xdr:col>
      <xdr:colOff>1531620</xdr:colOff>
      <xdr:row>26</xdr:row>
      <xdr:rowOff>49530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143435</xdr:colOff>
      <xdr:row>8</xdr:row>
      <xdr:rowOff>13447</xdr:rowOff>
    </xdr:from>
    <xdr:to>
      <xdr:col>11</xdr:col>
      <xdr:colOff>448235</xdr:colOff>
      <xdr:row>23</xdr:row>
      <xdr:rowOff>67235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C27" sqref="C27"/>
    </sheetView>
  </sheetViews>
  <sheetFormatPr defaultRowHeight="14.4" x14ac:dyDescent="0.3"/>
  <cols>
    <col min="4" max="4" width="21.21875" customWidth="1"/>
    <col min="6" max="6" width="29.77734375" customWidth="1"/>
  </cols>
  <sheetData>
    <row r="1" spans="1:8" x14ac:dyDescent="0.3">
      <c r="A1" t="s">
        <v>0</v>
      </c>
      <c r="D1" t="s">
        <v>1</v>
      </c>
      <c r="F1" t="s">
        <v>2</v>
      </c>
      <c r="H1" t="s">
        <v>3</v>
      </c>
    </row>
    <row r="2" spans="1:8" x14ac:dyDescent="0.3">
      <c r="A2">
        <v>6</v>
      </c>
      <c r="D2">
        <f>AVERAGE(A2:A9)</f>
        <v>4.875</v>
      </c>
      <c r="F2">
        <f>_xlfn.VAR.S(A2:A9)</f>
        <v>2.4107142857142856</v>
      </c>
      <c r="H2">
        <f>_xlfn.STDEV.S(A2:A9)</f>
        <v>1.5526475085202969</v>
      </c>
    </row>
    <row r="3" spans="1:8" x14ac:dyDescent="0.3">
      <c r="A3">
        <v>2</v>
      </c>
    </row>
    <row r="4" spans="1:8" x14ac:dyDescent="0.3">
      <c r="A4">
        <v>6</v>
      </c>
    </row>
    <row r="5" spans="1:8" x14ac:dyDescent="0.3">
      <c r="A5">
        <v>4</v>
      </c>
    </row>
    <row r="6" spans="1:8" x14ac:dyDescent="0.3">
      <c r="A6">
        <v>4</v>
      </c>
    </row>
    <row r="7" spans="1:8" x14ac:dyDescent="0.3">
      <c r="A7">
        <v>5</v>
      </c>
    </row>
    <row r="8" spans="1:8" x14ac:dyDescent="0.3">
      <c r="A8">
        <v>7</v>
      </c>
    </row>
    <row r="9" spans="1:8" x14ac:dyDescent="0.3">
      <c r="A9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J22" sqref="J22"/>
    </sheetView>
  </sheetViews>
  <sheetFormatPr defaultRowHeight="14.4" x14ac:dyDescent="0.3"/>
  <cols>
    <col min="7" max="7" width="22.6640625" customWidth="1"/>
  </cols>
  <sheetData>
    <row r="1" spans="1:8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9</v>
      </c>
      <c r="F1" s="1"/>
      <c r="G1" s="1"/>
      <c r="H1" s="1"/>
    </row>
    <row r="2" spans="1:8" x14ac:dyDescent="0.3">
      <c r="A2" s="1">
        <v>3</v>
      </c>
      <c r="B2" s="1">
        <v>2</v>
      </c>
      <c r="C2" s="1">
        <f>B2/$B$6</f>
        <v>0.1</v>
      </c>
      <c r="D2" s="2">
        <f>A2*B2</f>
        <v>6</v>
      </c>
      <c r="E2" s="1">
        <f>A2^2*B2</f>
        <v>18</v>
      </c>
      <c r="F2" s="1"/>
      <c r="G2" s="1" t="s">
        <v>10</v>
      </c>
      <c r="H2" s="1">
        <f>D6/B6</f>
        <v>6.6</v>
      </c>
    </row>
    <row r="3" spans="1:8" x14ac:dyDescent="0.3">
      <c r="A3" s="1">
        <v>6</v>
      </c>
      <c r="B3" s="1">
        <v>8</v>
      </c>
      <c r="C3" s="1">
        <f t="shared" ref="C3:C5" si="0">B3/$B$6</f>
        <v>0.4</v>
      </c>
      <c r="D3" s="2">
        <f t="shared" ref="D3:D5" si="1">A3*B3</f>
        <v>48</v>
      </c>
      <c r="E3" s="1">
        <f t="shared" ref="E3:E5" si="2">A3^2*B3</f>
        <v>288</v>
      </c>
      <c r="F3" s="1"/>
      <c r="G3" s="1" t="s">
        <v>11</v>
      </c>
      <c r="H3" s="1">
        <f>(E6/B6)-(H2^2)</f>
        <v>2.6400000000000077</v>
      </c>
    </row>
    <row r="4" spans="1:8" x14ac:dyDescent="0.3">
      <c r="A4" s="1">
        <v>7</v>
      </c>
      <c r="B4" s="1">
        <v>6</v>
      </c>
      <c r="C4" s="1">
        <f t="shared" si="0"/>
        <v>0.3</v>
      </c>
      <c r="D4" s="2">
        <f t="shared" si="1"/>
        <v>42</v>
      </c>
      <c r="E4" s="1">
        <f t="shared" si="2"/>
        <v>294</v>
      </c>
      <c r="F4" s="1"/>
      <c r="G4" s="1" t="s">
        <v>12</v>
      </c>
      <c r="H4" s="1">
        <f>(B6/(B6-1))*H3</f>
        <v>2.7789473684210604</v>
      </c>
    </row>
    <row r="5" spans="1:8" x14ac:dyDescent="0.3">
      <c r="A5" s="1">
        <v>9</v>
      </c>
      <c r="B5" s="1">
        <v>4</v>
      </c>
      <c r="C5" s="1">
        <f t="shared" si="0"/>
        <v>0.2</v>
      </c>
      <c r="D5" s="2">
        <f t="shared" si="1"/>
        <v>36</v>
      </c>
      <c r="E5" s="1">
        <f t="shared" si="2"/>
        <v>324</v>
      </c>
      <c r="F5" s="1"/>
      <c r="G5" s="1" t="s">
        <v>13</v>
      </c>
      <c r="H5" s="1">
        <f>SQRT(H4)</f>
        <v>1.6670175069329838</v>
      </c>
    </row>
    <row r="6" spans="1:8" x14ac:dyDescent="0.3">
      <c r="A6" s="1" t="s">
        <v>8</v>
      </c>
      <c r="B6" s="1">
        <f>SUM(B2:B5)</f>
        <v>20</v>
      </c>
      <c r="C6" s="1"/>
      <c r="D6" s="2">
        <f>SUM(D2:D5)</f>
        <v>132</v>
      </c>
      <c r="E6" s="1">
        <f>SUM(E2:E5)</f>
        <v>924</v>
      </c>
      <c r="F6" s="1"/>
      <c r="G6" s="1" t="s">
        <v>14</v>
      </c>
      <c r="H6" s="1">
        <v>0.95</v>
      </c>
    </row>
    <row r="7" spans="1:8" x14ac:dyDescent="0.3">
      <c r="A7" s="1"/>
      <c r="B7" s="1"/>
      <c r="C7" s="1"/>
      <c r="D7" s="1"/>
      <c r="E7" s="1"/>
      <c r="F7" s="1"/>
      <c r="G7" s="1" t="s">
        <v>15</v>
      </c>
      <c r="H7" s="1">
        <v>2.093</v>
      </c>
    </row>
    <row r="8" spans="1:8" x14ac:dyDescent="0.3">
      <c r="A8" s="1"/>
      <c r="B8" s="1"/>
      <c r="C8" s="1"/>
      <c r="D8" s="1"/>
      <c r="E8" s="1"/>
      <c r="F8" s="1"/>
      <c r="G8" s="1" t="s">
        <v>16</v>
      </c>
      <c r="H8" s="1">
        <f>H7*(H5/SQRT(B6))</f>
        <v>0.78017924256309046</v>
      </c>
    </row>
    <row r="9" spans="1:8" x14ac:dyDescent="0.3">
      <c r="A9" s="1"/>
      <c r="B9" s="1"/>
      <c r="C9" s="1"/>
      <c r="D9" s="1"/>
      <c r="E9" s="1"/>
      <c r="F9" s="1"/>
      <c r="G9" s="1" t="s">
        <v>17</v>
      </c>
      <c r="H9" s="1">
        <f>H2-H8</f>
        <v>5.8198207574369096</v>
      </c>
    </row>
    <row r="10" spans="1:8" x14ac:dyDescent="0.3">
      <c r="A10" s="1"/>
      <c r="B10" s="1"/>
      <c r="C10" s="1"/>
      <c r="D10" s="1"/>
      <c r="E10" s="1"/>
      <c r="F10" s="1"/>
      <c r="G10" s="1" t="s">
        <v>18</v>
      </c>
      <c r="H10" s="1">
        <f>H2+H8</f>
        <v>7.3801792425630897</v>
      </c>
    </row>
  </sheetData>
  <pageMargins left="0.7" right="0.7" top="0.75" bottom="0.75" header="0.3" footer="0.3"/>
  <pageSetup paperSize="9" orientation="portrait" horizontalDpi="200" verticalDpi="200" copies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6"/>
  <sheetViews>
    <sheetView tabSelected="1" zoomScale="74" zoomScaleNormal="74" workbookViewId="0">
      <selection activeCell="F36" sqref="F36"/>
    </sheetView>
  </sheetViews>
  <sheetFormatPr defaultRowHeight="14.4" x14ac:dyDescent="0.3"/>
  <cols>
    <col min="3" max="3" width="17.33203125" customWidth="1"/>
    <col min="12" max="12" width="14.88671875" customWidth="1"/>
    <col min="13" max="13" width="16.44140625" customWidth="1"/>
    <col min="14" max="14" width="19.44140625" customWidth="1"/>
    <col min="15" max="15" width="19.77734375" customWidth="1"/>
    <col min="16" max="16" width="17.33203125" customWidth="1"/>
    <col min="17" max="17" width="22" customWidth="1"/>
    <col min="21" max="21" width="24.5546875" customWidth="1"/>
  </cols>
  <sheetData>
    <row r="1" spans="1:22" x14ac:dyDescent="0.3">
      <c r="A1" t="s">
        <v>19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</row>
    <row r="2" spans="1:22" x14ac:dyDescent="0.3">
      <c r="A2">
        <v>15</v>
      </c>
      <c r="C2" t="s">
        <v>20</v>
      </c>
      <c r="D2">
        <f>MIN(A2:A26)</f>
        <v>-7</v>
      </c>
      <c r="K2">
        <v>1</v>
      </c>
      <c r="L2">
        <f>D2</f>
        <v>-7</v>
      </c>
      <c r="M2">
        <f>L2+$D$5</f>
        <v>-2</v>
      </c>
      <c r="N2">
        <f>(L2+M2)/2</f>
        <v>-4.5</v>
      </c>
      <c r="O2">
        <v>3</v>
      </c>
      <c r="P2">
        <f>O2/25</f>
        <v>0.12</v>
      </c>
      <c r="Q2">
        <f>P2/$D$5</f>
        <v>2.4E-2</v>
      </c>
      <c r="R2">
        <f>N2*O2</f>
        <v>-13.5</v>
      </c>
      <c r="S2">
        <f>(N2^2)*O2</f>
        <v>60.75</v>
      </c>
      <c r="U2" t="s">
        <v>33</v>
      </c>
      <c r="V2">
        <f>R7/25</f>
        <v>8.1</v>
      </c>
    </row>
    <row r="3" spans="1:22" x14ac:dyDescent="0.3">
      <c r="A3">
        <v>16</v>
      </c>
      <c r="C3" t="s">
        <v>21</v>
      </c>
      <c r="D3">
        <f>MAX(A2:A26)</f>
        <v>18</v>
      </c>
      <c r="K3">
        <v>2</v>
      </c>
      <c r="L3">
        <f>M2</f>
        <v>-2</v>
      </c>
      <c r="M3">
        <f t="shared" ref="M3:M6" si="0">L3+$D$5</f>
        <v>3</v>
      </c>
      <c r="N3">
        <f t="shared" ref="N3:N6" si="1">(L3+M3)/2</f>
        <v>0.5</v>
      </c>
      <c r="O3">
        <v>2</v>
      </c>
      <c r="P3">
        <f t="shared" ref="P3:P6" si="2">O3/25</f>
        <v>0.08</v>
      </c>
      <c r="Q3">
        <f t="shared" ref="Q3:Q7" si="3">P3/$D$5</f>
        <v>1.6E-2</v>
      </c>
      <c r="R3">
        <f t="shared" ref="R3:R6" si="4">N3*O3</f>
        <v>1</v>
      </c>
      <c r="S3">
        <f t="shared" ref="S3:S6" si="5">(N3^2)*O3</f>
        <v>0.5</v>
      </c>
      <c r="U3" t="s">
        <v>11</v>
      </c>
      <c r="V3">
        <f>(S7/25)-(V2^2)</f>
        <v>42.239999999999995</v>
      </c>
    </row>
    <row r="4" spans="1:22" x14ac:dyDescent="0.3">
      <c r="A4">
        <v>8</v>
      </c>
      <c r="C4" t="s">
        <v>22</v>
      </c>
      <c r="D4">
        <v>5</v>
      </c>
      <c r="K4">
        <v>3</v>
      </c>
      <c r="L4">
        <f t="shared" ref="L4:L6" si="6">M3</f>
        <v>3</v>
      </c>
      <c r="M4">
        <f t="shared" si="0"/>
        <v>8</v>
      </c>
      <c r="N4">
        <f t="shared" si="1"/>
        <v>5.5</v>
      </c>
      <c r="O4">
        <v>6</v>
      </c>
      <c r="P4">
        <f t="shared" si="2"/>
        <v>0.24</v>
      </c>
      <c r="Q4">
        <f t="shared" si="3"/>
        <v>4.8000000000000001E-2</v>
      </c>
      <c r="R4">
        <f t="shared" si="4"/>
        <v>33</v>
      </c>
      <c r="S4">
        <f t="shared" si="5"/>
        <v>181.5</v>
      </c>
      <c r="U4" t="s">
        <v>12</v>
      </c>
      <c r="V4">
        <f>(25/24)*V3</f>
        <v>44</v>
      </c>
    </row>
    <row r="5" spans="1:22" x14ac:dyDescent="0.3">
      <c r="A5">
        <v>12</v>
      </c>
      <c r="C5" t="s">
        <v>23</v>
      </c>
      <c r="D5">
        <f>(D3-D2)/D4</f>
        <v>5</v>
      </c>
      <c r="K5">
        <v>4</v>
      </c>
      <c r="L5">
        <f t="shared" si="6"/>
        <v>8</v>
      </c>
      <c r="M5">
        <f t="shared" si="0"/>
        <v>13</v>
      </c>
      <c r="N5">
        <f t="shared" si="1"/>
        <v>10.5</v>
      </c>
      <c r="O5">
        <v>7</v>
      </c>
      <c r="P5">
        <f t="shared" si="2"/>
        <v>0.28000000000000003</v>
      </c>
      <c r="Q5">
        <f t="shared" si="3"/>
        <v>5.6000000000000008E-2</v>
      </c>
      <c r="R5">
        <f t="shared" si="4"/>
        <v>73.5</v>
      </c>
      <c r="S5">
        <f t="shared" si="5"/>
        <v>771.75</v>
      </c>
      <c r="U5" t="s">
        <v>3</v>
      </c>
      <c r="V5">
        <f>SQRT(V4)</f>
        <v>6.6332495807107996</v>
      </c>
    </row>
    <row r="6" spans="1:22" x14ac:dyDescent="0.3">
      <c r="A6">
        <v>9</v>
      </c>
      <c r="K6">
        <v>5</v>
      </c>
      <c r="L6">
        <f t="shared" si="6"/>
        <v>13</v>
      </c>
      <c r="M6">
        <f t="shared" si="0"/>
        <v>18</v>
      </c>
      <c r="N6">
        <f t="shared" si="1"/>
        <v>15.5</v>
      </c>
      <c r="O6">
        <v>7</v>
      </c>
      <c r="P6">
        <f t="shared" si="2"/>
        <v>0.28000000000000003</v>
      </c>
      <c r="Q6">
        <f t="shared" si="3"/>
        <v>5.6000000000000008E-2</v>
      </c>
      <c r="R6">
        <f t="shared" si="4"/>
        <v>108.5</v>
      </c>
      <c r="S6">
        <f t="shared" si="5"/>
        <v>1681.75</v>
      </c>
      <c r="U6" t="s">
        <v>34</v>
      </c>
      <c r="V6">
        <v>0.99</v>
      </c>
    </row>
    <row r="7" spans="1:22" x14ac:dyDescent="0.3">
      <c r="A7">
        <v>10</v>
      </c>
      <c r="R7">
        <f>SUM(R2:R6)</f>
        <v>202.5</v>
      </c>
      <c r="S7">
        <f>SUM(S2:S6)</f>
        <v>2696.25</v>
      </c>
      <c r="U7" t="s">
        <v>35</v>
      </c>
      <c r="V7">
        <v>2.7970000000000002</v>
      </c>
    </row>
    <row r="8" spans="1:22" x14ac:dyDescent="0.3">
      <c r="A8">
        <v>6</v>
      </c>
      <c r="U8" t="s">
        <v>36</v>
      </c>
      <c r="V8">
        <f>V7*(V5/SQRT(25))</f>
        <v>3.7106398154496212</v>
      </c>
    </row>
    <row r="9" spans="1:22" x14ac:dyDescent="0.3">
      <c r="A9">
        <v>18</v>
      </c>
      <c r="U9" t="s">
        <v>37</v>
      </c>
      <c r="V9">
        <f>V2-V8</f>
        <v>4.3893601845503785</v>
      </c>
    </row>
    <row r="10" spans="1:22" x14ac:dyDescent="0.3">
      <c r="A10">
        <v>4</v>
      </c>
      <c r="U10" t="s">
        <v>38</v>
      </c>
      <c r="V10">
        <f>V2+V8</f>
        <v>11.810639815449621</v>
      </c>
    </row>
    <row r="11" spans="1:22" x14ac:dyDescent="0.3">
      <c r="A11">
        <v>6</v>
      </c>
    </row>
    <row r="12" spans="1:22" x14ac:dyDescent="0.3">
      <c r="A12">
        <v>16</v>
      </c>
    </row>
    <row r="13" spans="1:22" x14ac:dyDescent="0.3">
      <c r="A13">
        <v>4</v>
      </c>
    </row>
    <row r="14" spans="1:22" x14ac:dyDescent="0.3">
      <c r="A14">
        <v>-7</v>
      </c>
    </row>
    <row r="15" spans="1:22" x14ac:dyDescent="0.3">
      <c r="A15">
        <v>-3</v>
      </c>
    </row>
    <row r="16" spans="1:22" x14ac:dyDescent="0.3">
      <c r="A16">
        <v>10</v>
      </c>
    </row>
    <row r="17" spans="1:1" x14ac:dyDescent="0.3">
      <c r="A17">
        <v>3</v>
      </c>
    </row>
    <row r="18" spans="1:1" x14ac:dyDescent="0.3">
      <c r="A18">
        <v>5</v>
      </c>
    </row>
    <row r="19" spans="1:1" x14ac:dyDescent="0.3">
      <c r="A19">
        <v>11</v>
      </c>
    </row>
    <row r="20" spans="1:1" x14ac:dyDescent="0.3">
      <c r="A20">
        <v>12</v>
      </c>
    </row>
    <row r="21" spans="1:1" x14ac:dyDescent="0.3">
      <c r="A21">
        <v>14</v>
      </c>
    </row>
    <row r="22" spans="1:1" x14ac:dyDescent="0.3">
      <c r="A22">
        <v>-5</v>
      </c>
    </row>
    <row r="23" spans="1:1" x14ac:dyDescent="0.3">
      <c r="A23">
        <v>14</v>
      </c>
    </row>
    <row r="24" spans="1:1" x14ac:dyDescent="0.3">
      <c r="A24">
        <v>18</v>
      </c>
    </row>
    <row r="25" spans="1:1" x14ac:dyDescent="0.3">
      <c r="A25">
        <v>6</v>
      </c>
    </row>
    <row r="26" spans="1:1" x14ac:dyDescent="0.3">
      <c r="A26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Задача 1</vt:lpstr>
      <vt:lpstr>Задание 2</vt:lpstr>
      <vt:lpstr>Задача 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2026-05-17T14:27:10Z</dcterms:modified>
</cp:coreProperties>
</file>